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e_des_taches" sheetId="1" state="visible" r:id="rId3"/>
    <sheet name="Avancement_projet" sheetId="2" state="visible" r:id="rId4"/>
    <sheet name="Detail" sheetId="3" state="visible" r:id="rId5"/>
    <sheet name="Recap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<sst xmlns="http://schemas.openxmlformats.org/spreadsheetml/2006/main" count="69" uniqueCount="43">
  <si>
    <t xml:space="preserve">Catégorie</t>
  </si>
  <si>
    <t xml:space="preserve">Nom page</t>
  </si>
  <si>
    <t xml:space="preserve">Description</t>
  </si>
  <si>
    <t xml:space="preserve">Estimation (min)</t>
  </si>
  <si>
    <t xml:space="preserve">Temps passé</t>
  </si>
  <si>
    <t xml:space="preserve">Reste à faire</t>
  </si>
  <si>
    <t xml:space="preserve">Avancement</t>
  </si>
  <si>
    <t xml:space="preserve">Qui</t>
  </si>
  <si>
    <t xml:space="preserve">Priorité</t>
  </si>
  <si>
    <t xml:space="preserve">Git</t>
  </si>
  <si>
    <t xml:space="preserve">Repository</t>
  </si>
  <si>
    <t xml:space="preserve">Créer le repository Git pour le projet</t>
  </si>
  <si>
    <t xml:space="preserve">Toky</t>
  </si>
  <si>
    <t xml:space="preserve">Moyen</t>
  </si>
  <si>
    <t xml:space="preserve">Bdd</t>
  </si>
  <si>
    <t xml:space="preserve">Table aliment</t>
  </si>
  <si>
    <t xml:space="preserve">table categorie_aliment</t>
  </si>
  <si>
    <t xml:space="preserve">table categorie_regime</t>
  </si>
  <si>
    <t xml:space="preserve">table plat</t>
  </si>
  <si>
    <t xml:space="preserve">table users</t>
  </si>
  <si>
    <t xml:space="preserve">table activite</t>
  </si>
  <si>
    <t xml:space="preserve">table option(gold,..)</t>
  </si>
  <si>
    <t xml:space="preserve">table regime(plats)</t>
  </si>
  <si>
    <t xml:space="preserve">table programme(regime et acitvites)</t>
  </si>
  <si>
    <t xml:space="preserve">frontoffice</t>
  </si>
  <si>
    <t xml:space="preserve">login </t>
  </si>
  <si>
    <t xml:space="preserve">inscription globale</t>
  </si>
  <si>
    <t xml:space="preserve">inscription detail(poids,…)</t>
  </si>
  <si>
    <t xml:space="preserve">completion profil</t>
  </si>
  <si>
    <t xml:space="preserve">Accueil.php</t>
  </si>
  <si>
    <t xml:space="preserve">Rindra</t>
  </si>
  <si>
    <t xml:space="preserve">liste objectifs(perte,gain,imc ideal)</t>
  </si>
  <si>
    <t xml:space="preserve">systeme de suggestion de regime</t>
  </si>
  <si>
    <t xml:space="preserve">Estimation total</t>
  </si>
  <si>
    <t xml:space="preserve">Total heures</t>
  </si>
  <si>
    <t xml:space="preserve">Dépassement</t>
  </si>
  <si>
    <t xml:space="preserve">Ligne</t>
  </si>
  <si>
    <t xml:space="preserve">Total</t>
  </si>
  <si>
    <t xml:space="preserve">16/02</t>
  </si>
  <si>
    <t xml:space="preserve">17/02</t>
  </si>
  <si>
    <t xml:space="preserve">Pourcentage</t>
  </si>
  <si>
    <t xml:space="preserve">Somme de Estimation</t>
  </si>
  <si>
    <t xml:space="preserve">Andrianina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</si>
</sst>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\ %"/>
    <numFmt numFmtId="166" formatCode="0"/>
    <numFmt numFmtId="167" formatCode="0.00\ %"/>
    <numFmt numFmtId="168" formatCode="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11"/>
      <name val="Arial"/>
      <family val="2"/>
      <charset val="1"/>
    </font>
    <font>
      <sz val="11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366092"/>
        <bgColor rgb="FF333399"/>
      </patternFill>
    </fill>
    <fill>
      <patternFill patternType="solid">
        <fgColor rgb="FFFFC7CE"/>
        <bgColor rgb="FFFCE4D6"/>
      </patternFill>
    </fill>
    <fill>
      <patternFill patternType="solid">
        <fgColor rgb="FFE2EFDA"/>
        <bgColor rgb="FFFCE4D6"/>
      </patternFill>
    </fill>
    <fill>
      <patternFill patternType="solid">
        <fgColor rgb="FFFF6B6B"/>
        <bgColor rgb="FFFF6600"/>
      </patternFill>
    </fill>
    <fill>
      <patternFill patternType="solid">
        <fgColor rgb="FFFFD93D"/>
        <bgColor rgb="FFFFFF00"/>
      </patternFill>
    </fill>
    <fill>
      <patternFill patternType="solid">
        <fgColor rgb="FFFCE4D6"/>
        <bgColor rgb="FFE2EFDA"/>
      </patternFill>
    </fill>
    <fill>
      <patternFill patternType="solid">
        <fgColor rgb="FF95E1D3"/>
        <bgColor rgb="FFC0C0C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5" fontId="0" fillId="3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CCFFFF"/>
      <rgbColor rgb="FF660066"/>
      <rgbColor rgb="FFFF6B6B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5E1D3"/>
      <rgbColor rgb="FFFF99CC"/>
      <rgbColor rgb="FFCC99FF"/>
      <rgbColor rgb="FFFFC7CE"/>
      <rgbColor rgb="FF3366FF"/>
      <rgbColor rgb="FF33CCCC"/>
      <rgbColor rgb="FF99CC00"/>
      <rgbColor rgb="FFFFD93D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I16" activeCellId="0" sqref="I16"/>
    </sheetView>
  </sheetViews>
  <sheetFormatPr defaultColWidth="8.63671875" defaultRowHeight="14.2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2"/>
    <col collapsed="false" customWidth="true" hidden="false" outlineLevel="0" max="3" min="3" style="1" width="37.99"/>
    <col collapsed="false" customWidth="true" hidden="false" outlineLevel="0" max="4" min="4" style="1" width="35"/>
    <col collapsed="false" customWidth="true" hidden="false" outlineLevel="0" max="7" min="5" style="1" width="15"/>
    <col collapsed="false" customWidth="true" hidden="false" outlineLevel="0" max="10" min="8" style="1" width="12"/>
    <col collapsed="false" customWidth="true" hidden="false" outlineLevel="0" max="16384" min="16382" style="1" width="10.16"/>
  </cols>
  <sheetData>
    <row r="1" customFormat="false" ht="14.25" hidden="false" customHeight="false" outlineLevel="0" collapsed="false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customFormat="false" ht="14.25" hidden="false" customHeight="false" outlineLevel="0" collapsed="false">
      <c r="A2" s="3"/>
      <c r="B2" s="4" t="s">
        <v>9</v>
      </c>
      <c r="C2" s="4" t="s">
        <v>10</v>
      </c>
      <c r="D2" s="4" t="s">
        <v>11</v>
      </c>
      <c r="E2" s="5" t="n">
        <v>15</v>
      </c>
      <c r="F2" s="5" t="n">
        <v>15</v>
      </c>
      <c r="G2" s="5" t="n">
        <v>0</v>
      </c>
      <c r="H2" s="6" t="n">
        <f aca="false">IF(E2&gt;0,F2/E2,0)</f>
        <v>1</v>
      </c>
      <c r="I2" s="7" t="s">
        <v>12</v>
      </c>
      <c r="J2" s="8" t="s">
        <v>13</v>
      </c>
    </row>
    <row r="3" customFormat="false" ht="14.25" hidden="false" customHeight="false" outlineLevel="0" collapsed="false">
      <c r="B3" s="1" t="s">
        <v>14</v>
      </c>
      <c r="C3" s="1" t="s">
        <v>15</v>
      </c>
      <c r="E3" s="1" t="n">
        <v>4</v>
      </c>
      <c r="G3" s="1" t="n">
        <v>4</v>
      </c>
      <c r="H3" s="6" t="n">
        <f aca="false">IF(E3&gt;0,F3/E3,0)</f>
        <v>0</v>
      </c>
    </row>
    <row r="4" customFormat="false" ht="14.25" hidden="false" customHeight="false" outlineLevel="0" collapsed="false">
      <c r="A4" s="3"/>
      <c r="B4" s="1" t="s">
        <v>14</v>
      </c>
      <c r="C4" s="4" t="s">
        <v>16</v>
      </c>
      <c r="D4" s="4"/>
      <c r="E4" s="5" t="n">
        <v>3</v>
      </c>
      <c r="F4" s="5"/>
      <c r="G4" s="5" t="n">
        <v>3</v>
      </c>
      <c r="H4" s="6" t="n">
        <f aca="false">IF(E4&gt;0,F4/E4,0)</f>
        <v>0</v>
      </c>
      <c r="I4" s="7"/>
      <c r="J4" s="9"/>
    </row>
    <row r="5" customFormat="false" ht="14.25" hidden="false" customHeight="false" outlineLevel="0" collapsed="false">
      <c r="A5" s="3"/>
      <c r="B5" s="1" t="s">
        <v>14</v>
      </c>
      <c r="C5" s="4" t="s">
        <v>17</v>
      </c>
      <c r="D5" s="4"/>
      <c r="E5" s="5" t="n">
        <v>3</v>
      </c>
      <c r="F5" s="5"/>
      <c r="G5" s="5" t="n">
        <v>3</v>
      </c>
      <c r="H5" s="6" t="n">
        <f aca="false">IF(E5&gt;0,F5/E5,0)</f>
        <v>0</v>
      </c>
      <c r="I5" s="7"/>
      <c r="J5" s="8"/>
    </row>
    <row r="6" customFormat="false" ht="14.25" hidden="false" customHeight="false" outlineLevel="0" collapsed="false">
      <c r="A6" s="3"/>
      <c r="B6" s="1" t="s">
        <v>14</v>
      </c>
      <c r="C6" s="4" t="s">
        <v>18</v>
      </c>
      <c r="D6" s="4"/>
      <c r="E6" s="5" t="n">
        <v>3</v>
      </c>
      <c r="F6" s="5"/>
      <c r="G6" s="5" t="n">
        <v>3</v>
      </c>
      <c r="H6" s="6" t="n">
        <f aca="false">IF(E6&gt;0,F6/E6,0)</f>
        <v>0</v>
      </c>
      <c r="I6" s="10"/>
      <c r="J6" s="8"/>
    </row>
    <row r="7" customFormat="false" ht="14.25" hidden="false" customHeight="false" outlineLevel="0" collapsed="false">
      <c r="A7" s="3"/>
      <c r="B7" s="1" t="s">
        <v>14</v>
      </c>
      <c r="C7" s="4" t="s">
        <v>19</v>
      </c>
      <c r="D7" s="4"/>
      <c r="E7" s="5" t="n">
        <v>3</v>
      </c>
      <c r="F7" s="5"/>
      <c r="G7" s="5" t="n">
        <v>3</v>
      </c>
      <c r="H7" s="6" t="n">
        <f aca="false">IF(E7&gt;0,F7/E7,0)</f>
        <v>0</v>
      </c>
      <c r="I7" s="10"/>
      <c r="J7" s="8"/>
    </row>
    <row r="8" customFormat="false" ht="14.25" hidden="false" customHeight="false" outlineLevel="0" collapsed="false">
      <c r="A8" s="3"/>
      <c r="B8" s="1" t="s">
        <v>14</v>
      </c>
      <c r="C8" s="4" t="s">
        <v>20</v>
      </c>
      <c r="D8" s="4"/>
      <c r="E8" s="5" t="n">
        <v>3</v>
      </c>
      <c r="F8" s="5"/>
      <c r="G8" s="5" t="n">
        <v>3</v>
      </c>
      <c r="H8" s="6" t="n">
        <f aca="false">IF(E8&gt;0,F8/E8,0)</f>
        <v>0</v>
      </c>
      <c r="I8" s="10"/>
      <c r="J8" s="9"/>
    </row>
    <row r="9" customFormat="false" ht="14.25" hidden="false" customHeight="false" outlineLevel="0" collapsed="false">
      <c r="A9" s="3"/>
      <c r="B9" s="1" t="s">
        <v>14</v>
      </c>
      <c r="C9" s="4" t="s">
        <v>21</v>
      </c>
      <c r="D9" s="4"/>
      <c r="E9" s="5" t="n">
        <v>3</v>
      </c>
      <c r="F9" s="5"/>
      <c r="G9" s="5" t="n">
        <v>3</v>
      </c>
      <c r="H9" s="6" t="n">
        <f aca="false">IF(E9&gt;0,F9/E9,0)</f>
        <v>0</v>
      </c>
      <c r="I9" s="10"/>
      <c r="J9" s="9"/>
    </row>
    <row r="10" customFormat="false" ht="14.25" hidden="false" customHeight="false" outlineLevel="0" collapsed="false">
      <c r="A10" s="3"/>
      <c r="B10" s="1" t="s">
        <v>14</v>
      </c>
      <c r="C10" s="4" t="s">
        <v>22</v>
      </c>
      <c r="D10" s="4"/>
      <c r="E10" s="5" t="n">
        <v>3</v>
      </c>
      <c r="F10" s="5"/>
      <c r="G10" s="5" t="n">
        <v>3</v>
      </c>
      <c r="H10" s="6" t="n">
        <f aca="false">IF(E10&gt;0,F10/E10,0)</f>
        <v>0</v>
      </c>
      <c r="I10" s="10"/>
      <c r="J10" s="9"/>
    </row>
    <row r="11" customFormat="false" ht="14.25" hidden="false" customHeight="false" outlineLevel="0" collapsed="false">
      <c r="A11" s="3"/>
      <c r="B11" s="1" t="s">
        <v>14</v>
      </c>
      <c r="C11" s="4" t="s">
        <v>23</v>
      </c>
      <c r="D11" s="4"/>
      <c r="E11" s="5" t="n">
        <v>3</v>
      </c>
      <c r="F11" s="5"/>
      <c r="G11" s="5" t="n">
        <v>3</v>
      </c>
      <c r="H11" s="6" t="n">
        <f aca="false">IF(E11&gt;0,F11/E11,0)</f>
        <v>0</v>
      </c>
      <c r="I11" s="10"/>
      <c r="J11" s="9"/>
    </row>
    <row r="12" customFormat="false" ht="14.25" hidden="false" customHeight="false" outlineLevel="0" collapsed="false">
      <c r="A12" s="3"/>
      <c r="B12" s="4" t="s">
        <v>24</v>
      </c>
      <c r="C12" s="4" t="s">
        <v>25</v>
      </c>
      <c r="D12" s="4"/>
      <c r="E12" s="5" t="n">
        <v>15</v>
      </c>
      <c r="F12" s="5"/>
      <c r="G12" s="5" t="n">
        <v>15</v>
      </c>
      <c r="H12" s="6" t="n">
        <f aca="false">IF(E12&gt;0,F12/E12,0)</f>
        <v>0</v>
      </c>
      <c r="I12" s="10" t="s">
        <v>12</v>
      </c>
      <c r="J12" s="9"/>
    </row>
    <row r="13" customFormat="false" ht="14.25" hidden="false" customHeight="false" outlineLevel="0" collapsed="false">
      <c r="A13" s="3"/>
      <c r="B13" s="4" t="s">
        <v>24</v>
      </c>
      <c r="C13" s="4" t="s">
        <v>26</v>
      </c>
      <c r="D13" s="4"/>
      <c r="E13" s="5" t="n">
        <v>10</v>
      </c>
      <c r="F13" s="5"/>
      <c r="G13" s="5" t="n">
        <v>10</v>
      </c>
      <c r="H13" s="6" t="n">
        <f aca="false">IF(E13&gt;0,F13/E13,0)</f>
        <v>0</v>
      </c>
      <c r="I13" s="7" t="s">
        <v>12</v>
      </c>
      <c r="J13" s="8"/>
    </row>
    <row r="14" customFormat="false" ht="14.25" hidden="false" customHeight="false" outlineLevel="0" collapsed="false">
      <c r="A14" s="3"/>
      <c r="B14" s="4" t="s">
        <v>24</v>
      </c>
      <c r="C14" s="4" t="s">
        <v>27</v>
      </c>
      <c r="D14" s="4"/>
      <c r="E14" s="5" t="n">
        <v>5</v>
      </c>
      <c r="F14" s="5"/>
      <c r="G14" s="5" t="n">
        <v>5</v>
      </c>
      <c r="H14" s="6" t="n">
        <f aca="false">IF(E14&gt;0,F14/E14,0)</f>
        <v>0</v>
      </c>
      <c r="I14" s="7" t="s">
        <v>12</v>
      </c>
      <c r="J14" s="8"/>
    </row>
    <row r="15" customFormat="false" ht="14.25" hidden="false" customHeight="false" outlineLevel="0" collapsed="false">
      <c r="A15" s="3"/>
      <c r="B15" s="4" t="s">
        <v>24</v>
      </c>
      <c r="C15" s="4" t="s">
        <v>28</v>
      </c>
      <c r="D15" s="4"/>
      <c r="E15" s="5" t="n">
        <v>10</v>
      </c>
      <c r="F15" s="5"/>
      <c r="G15" s="5" t="n">
        <v>10</v>
      </c>
      <c r="H15" s="6" t="n">
        <f aca="false">IF(E15&gt;0,F15/E15,0)</f>
        <v>0</v>
      </c>
      <c r="I15" s="7"/>
      <c r="J15" s="8"/>
    </row>
    <row r="16" customFormat="false" ht="14.25" hidden="false" customHeight="false" outlineLevel="0" collapsed="false">
      <c r="A16" s="3"/>
      <c r="B16" s="4" t="s">
        <v>24</v>
      </c>
      <c r="C16" s="4" t="s">
        <v>29</v>
      </c>
      <c r="D16" s="4"/>
      <c r="E16" s="5" t="n">
        <v>10</v>
      </c>
      <c r="F16" s="5"/>
      <c r="G16" s="5" t="n">
        <v>10</v>
      </c>
      <c r="H16" s="6" t="n">
        <f aca="false">IF(E16&gt;0,F16/E16,0)</f>
        <v>0</v>
      </c>
      <c r="I16" s="7" t="s">
        <v>30</v>
      </c>
      <c r="J16" s="8"/>
    </row>
    <row r="17" customFormat="false" ht="14.25" hidden="false" customHeight="false" outlineLevel="0" collapsed="false">
      <c r="A17" s="3"/>
      <c r="B17" s="4" t="s">
        <v>24</v>
      </c>
      <c r="C17" s="4" t="s">
        <v>31</v>
      </c>
      <c r="D17" s="4"/>
      <c r="E17" s="5" t="n">
        <v>5</v>
      </c>
      <c r="F17" s="5"/>
      <c r="G17" s="5" t="n">
        <v>5</v>
      </c>
      <c r="H17" s="6" t="n">
        <f aca="false">IF(E17&gt;0,F17/E17,0)</f>
        <v>0</v>
      </c>
      <c r="I17" s="7"/>
      <c r="J17" s="8"/>
    </row>
    <row r="18" customFormat="false" ht="14.25" hidden="false" customHeight="false" outlineLevel="0" collapsed="false">
      <c r="A18" s="3"/>
      <c r="B18" s="4" t="s">
        <v>24</v>
      </c>
      <c r="C18" s="4" t="s">
        <v>32</v>
      </c>
      <c r="D18" s="4"/>
      <c r="E18" s="5" t="n">
        <v>20</v>
      </c>
      <c r="F18" s="5"/>
      <c r="G18" s="5" t="n">
        <v>20</v>
      </c>
      <c r="H18" s="6" t="n">
        <f aca="false">IF(E18&gt;0,F18/E18,0)</f>
        <v>0</v>
      </c>
      <c r="I18" s="7"/>
      <c r="J18" s="8"/>
    </row>
    <row r="19" customFormat="false" ht="14.25" hidden="false" customHeight="false" outlineLevel="0" collapsed="false">
      <c r="A19" s="3"/>
      <c r="B19" s="4"/>
      <c r="C19" s="4"/>
      <c r="D19" s="4"/>
      <c r="E19" s="5"/>
      <c r="F19" s="5"/>
      <c r="G19" s="5"/>
      <c r="H19" s="6"/>
      <c r="I19" s="7"/>
      <c r="J19" s="8"/>
    </row>
    <row r="20" customFormat="false" ht="14.25" hidden="false" customHeight="false" outlineLevel="0" collapsed="false">
      <c r="A20" s="3"/>
      <c r="B20" s="4"/>
      <c r="C20" s="4"/>
      <c r="D20" s="4"/>
      <c r="E20" s="5"/>
      <c r="F20" s="5"/>
      <c r="G20" s="5"/>
      <c r="H20" s="6"/>
      <c r="I20" s="7"/>
      <c r="J20" s="8"/>
    </row>
    <row r="21" customFormat="false" ht="14.25" hidden="false" customHeight="false" outlineLevel="0" collapsed="false">
      <c r="A21" s="3"/>
      <c r="B21" s="4"/>
      <c r="C21" s="4"/>
      <c r="D21" s="4"/>
      <c r="E21" s="5"/>
      <c r="F21" s="5"/>
      <c r="G21" s="5"/>
      <c r="H21" s="6"/>
      <c r="I21" s="7"/>
      <c r="J21" s="8"/>
    </row>
    <row r="22" customFormat="false" ht="14.25" hidden="false" customHeight="false" outlineLevel="0" collapsed="false">
      <c r="A22" s="3"/>
      <c r="B22" s="4"/>
      <c r="C22" s="4"/>
      <c r="D22" s="4"/>
      <c r="E22" s="5"/>
      <c r="F22" s="5"/>
      <c r="G22" s="5"/>
      <c r="H22" s="6"/>
      <c r="I22" s="7"/>
      <c r="J22" s="8"/>
    </row>
    <row r="23" customFormat="false" ht="14.25" hidden="false" customHeight="false" outlineLevel="0" collapsed="false">
      <c r="A23" s="3"/>
      <c r="B23" s="4"/>
      <c r="C23" s="4"/>
      <c r="D23" s="4"/>
      <c r="E23" s="5"/>
      <c r="F23" s="5"/>
      <c r="G23" s="5"/>
      <c r="H23" s="6"/>
      <c r="I23" s="7"/>
      <c r="J23" s="8"/>
    </row>
    <row r="24" customFormat="false" ht="14.25" hidden="false" customHeight="false" outlineLevel="0" collapsed="false">
      <c r="A24" s="3"/>
      <c r="B24" s="4"/>
      <c r="C24" s="4"/>
      <c r="D24" s="4"/>
      <c r="E24" s="5"/>
      <c r="F24" s="5"/>
      <c r="G24" s="5"/>
      <c r="H24" s="6"/>
      <c r="I24" s="7"/>
      <c r="J24" s="8"/>
    </row>
    <row r="25" customFormat="false" ht="14.25" hidden="false" customHeight="false" outlineLevel="0" collapsed="false">
      <c r="A25" s="3"/>
      <c r="B25" s="4"/>
      <c r="C25" s="4"/>
      <c r="D25" s="4"/>
      <c r="E25" s="5"/>
      <c r="F25" s="5"/>
      <c r="G25" s="5"/>
      <c r="H25" s="6"/>
      <c r="I25" s="10"/>
      <c r="J25" s="8"/>
    </row>
    <row r="26" customFormat="false" ht="14.25" hidden="false" customHeight="false" outlineLevel="0" collapsed="false">
      <c r="A26" s="3"/>
      <c r="B26" s="4"/>
      <c r="C26" s="4"/>
      <c r="D26" s="4"/>
      <c r="E26" s="5"/>
      <c r="F26" s="5"/>
      <c r="G26" s="5"/>
      <c r="H26" s="6"/>
      <c r="I26" s="10"/>
      <c r="J26" s="8"/>
    </row>
    <row r="27" customFormat="false" ht="14.25" hidden="false" customHeight="false" outlineLevel="0" collapsed="false">
      <c r="A27" s="3"/>
      <c r="B27" s="4"/>
      <c r="C27" s="4"/>
      <c r="D27" s="4"/>
      <c r="E27" s="5"/>
      <c r="F27" s="5"/>
      <c r="G27" s="5"/>
      <c r="H27" s="6"/>
      <c r="I27" s="10"/>
      <c r="J27" s="9"/>
    </row>
    <row r="28" customFormat="false" ht="14.25" hidden="false" customHeight="false" outlineLevel="0" collapsed="false">
      <c r="A28" s="3"/>
      <c r="B28" s="4"/>
      <c r="C28" s="4"/>
      <c r="D28" s="4"/>
      <c r="E28" s="5"/>
      <c r="F28" s="5"/>
      <c r="G28" s="5"/>
      <c r="H28" s="6"/>
      <c r="I28" s="10"/>
      <c r="J28" s="8"/>
    </row>
    <row r="29" customFormat="false" ht="14.25" hidden="false" customHeight="false" outlineLevel="0" collapsed="false">
      <c r="A29" s="3"/>
      <c r="B29" s="4"/>
      <c r="C29" s="4"/>
      <c r="D29" s="4"/>
      <c r="E29" s="5"/>
      <c r="F29" s="5"/>
      <c r="G29" s="5"/>
      <c r="H29" s="6"/>
      <c r="I29" s="10"/>
      <c r="J29" s="8"/>
    </row>
    <row r="30" customFormat="false" ht="14.25" hidden="false" customHeight="false" outlineLevel="0" collapsed="false">
      <c r="A30" s="3"/>
      <c r="B30" s="4"/>
      <c r="C30" s="4"/>
      <c r="D30" s="4"/>
      <c r="E30" s="5"/>
      <c r="F30" s="5"/>
      <c r="G30" s="5"/>
      <c r="H30" s="6"/>
      <c r="I30" s="10"/>
      <c r="J30" s="8"/>
    </row>
    <row r="31" customFormat="false" ht="14.25" hidden="false" customHeight="false" outlineLevel="0" collapsed="false">
      <c r="A31" s="3"/>
      <c r="B31" s="4"/>
      <c r="C31" s="4"/>
      <c r="D31" s="4"/>
      <c r="E31" s="5"/>
      <c r="F31" s="5"/>
      <c r="G31" s="5"/>
      <c r="H31" s="6"/>
      <c r="I31" s="10"/>
      <c r="J31" s="8"/>
    </row>
    <row r="32" customFormat="false" ht="14.25" hidden="false" customHeight="false" outlineLevel="0" collapsed="false">
      <c r="A32" s="3"/>
      <c r="B32" s="4"/>
      <c r="C32" s="4"/>
      <c r="D32" s="4"/>
      <c r="E32" s="5"/>
      <c r="F32" s="5"/>
      <c r="G32" s="5"/>
      <c r="H32" s="6"/>
      <c r="I32" s="10"/>
      <c r="J32" s="9"/>
    </row>
    <row r="33" customFormat="false" ht="14.25" hidden="false" customHeight="false" outlineLevel="0" collapsed="false">
      <c r="A33" s="3"/>
      <c r="B33" s="4"/>
      <c r="C33" s="4"/>
      <c r="D33" s="4"/>
      <c r="E33" s="5"/>
      <c r="F33" s="5"/>
      <c r="G33" s="5"/>
      <c r="H33" s="6"/>
      <c r="I33" s="7"/>
      <c r="J33" s="8"/>
    </row>
    <row r="34" customFormat="false" ht="14.25" hidden="false" customHeight="false" outlineLevel="0" collapsed="false">
      <c r="A34" s="3"/>
      <c r="B34" s="4"/>
      <c r="C34" s="4"/>
      <c r="D34" s="4"/>
      <c r="E34" s="5"/>
      <c r="F34" s="5"/>
      <c r="G34" s="5"/>
      <c r="H34" s="6"/>
      <c r="I34" s="7"/>
      <c r="J34" s="8"/>
    </row>
    <row r="35" customFormat="false" ht="14.25" hidden="false" customHeight="false" outlineLevel="0" collapsed="false">
      <c r="A35" s="3"/>
      <c r="B35" s="4"/>
      <c r="C35" s="4"/>
      <c r="D35" s="4"/>
      <c r="E35" s="5"/>
      <c r="F35" s="5"/>
      <c r="G35" s="5"/>
      <c r="H35" s="6"/>
      <c r="I35" s="7"/>
      <c r="J35" s="8"/>
    </row>
    <row r="36" customFormat="false" ht="14.25" hidden="false" customHeight="false" outlineLevel="0" collapsed="false">
      <c r="A36" s="3"/>
      <c r="B36" s="4"/>
      <c r="C36" s="4"/>
      <c r="D36" s="4"/>
      <c r="E36" s="5"/>
      <c r="F36" s="5"/>
      <c r="G36" s="5"/>
      <c r="H36" s="6"/>
      <c r="I36" s="10"/>
      <c r="J36" s="9"/>
    </row>
    <row r="37" customFormat="false" ht="14.25" hidden="false" customHeight="false" outlineLevel="0" collapsed="false">
      <c r="A37" s="3"/>
      <c r="B37" s="4"/>
      <c r="C37" s="4"/>
      <c r="D37" s="4"/>
      <c r="E37" s="5"/>
      <c r="F37" s="5"/>
      <c r="G37" s="5"/>
      <c r="H37" s="6"/>
      <c r="I37" s="7"/>
      <c r="J37" s="9"/>
    </row>
    <row r="38" customFormat="false" ht="14.25" hidden="false" customHeight="false" outlineLevel="0" collapsed="false">
      <c r="A38" s="3"/>
      <c r="B38" s="4"/>
      <c r="C38" s="4"/>
      <c r="D38" s="4"/>
      <c r="E38" s="5"/>
      <c r="F38" s="5"/>
      <c r="G38" s="5"/>
      <c r="H38" s="6"/>
      <c r="I38" s="7"/>
      <c r="J38" s="9"/>
    </row>
    <row r="39" customFormat="false" ht="14.25" hidden="false" customHeight="false" outlineLevel="0" collapsed="false">
      <c r="A39" s="3"/>
      <c r="B39" s="4"/>
      <c r="C39" s="4"/>
      <c r="D39" s="4"/>
      <c r="E39" s="5"/>
      <c r="F39" s="5"/>
      <c r="G39" s="5"/>
      <c r="H39" s="6"/>
      <c r="I39" s="7"/>
      <c r="J39" s="8"/>
    </row>
    <row r="40" customFormat="false" ht="14.25" hidden="false" customHeight="false" outlineLevel="0" collapsed="false">
      <c r="A40" s="3"/>
      <c r="B40" s="4"/>
      <c r="C40" s="4"/>
      <c r="D40" s="4"/>
      <c r="E40" s="5"/>
      <c r="F40" s="5"/>
      <c r="G40" s="5"/>
      <c r="H40" s="6"/>
      <c r="I40" s="10"/>
      <c r="J40" s="9"/>
    </row>
    <row r="41" customFormat="false" ht="14.25" hidden="false" customHeight="false" outlineLevel="0" collapsed="false">
      <c r="A41" s="3"/>
      <c r="B41" s="4"/>
      <c r="C41" s="4"/>
      <c r="D41" s="4"/>
      <c r="E41" s="5"/>
      <c r="F41" s="5"/>
      <c r="G41" s="5"/>
      <c r="H41" s="6"/>
      <c r="I41" s="7"/>
      <c r="J41" s="8"/>
    </row>
    <row r="42" customFormat="false" ht="14.25" hidden="false" customHeight="false" outlineLevel="0" collapsed="false">
      <c r="A42" s="3"/>
      <c r="B42" s="4"/>
      <c r="C42" s="4"/>
      <c r="D42" s="4"/>
      <c r="E42" s="5"/>
      <c r="F42" s="5"/>
      <c r="G42" s="5"/>
      <c r="H42" s="6"/>
      <c r="I42" s="10"/>
      <c r="J42" s="9"/>
    </row>
    <row r="43" customFormat="false" ht="14.25" hidden="false" customHeight="false" outlineLevel="0" collapsed="false">
      <c r="A43" s="3"/>
      <c r="B43" s="4"/>
      <c r="C43" s="4"/>
      <c r="D43" s="4"/>
      <c r="E43" s="5"/>
      <c r="F43" s="5"/>
      <c r="G43" s="5"/>
      <c r="H43" s="6"/>
      <c r="I43" s="7"/>
      <c r="J43" s="11"/>
    </row>
    <row r="44" customFormat="false" ht="14.25" hidden="false" customHeight="false" outlineLevel="0" collapsed="false">
      <c r="A44" s="3"/>
      <c r="B44" s="4"/>
      <c r="C44" s="4"/>
      <c r="D44" s="4"/>
      <c r="E44" s="5"/>
      <c r="F44" s="5"/>
      <c r="G44" s="5"/>
      <c r="H44" s="6"/>
      <c r="I44" s="10"/>
      <c r="J44" s="9"/>
    </row>
    <row r="45" customFormat="false" ht="14.25" hidden="false" customHeight="false" outlineLevel="0" collapsed="false">
      <c r="A45" s="3"/>
      <c r="B45" s="4"/>
      <c r="C45" s="4"/>
      <c r="D45" s="4"/>
      <c r="E45" s="5"/>
      <c r="F45" s="5"/>
      <c r="G45" s="5"/>
      <c r="H45" s="6"/>
      <c r="I45" s="10"/>
      <c r="J45" s="11"/>
    </row>
    <row r="46" customFormat="false" ht="14.25" hidden="false" customHeight="false" outlineLevel="0" collapsed="false">
      <c r="A46" s="3"/>
      <c r="B46" s="4"/>
      <c r="C46" s="4"/>
      <c r="D46" s="4"/>
      <c r="E46" s="5"/>
      <c r="F46" s="5"/>
      <c r="G46" s="5"/>
      <c r="H46" s="6"/>
      <c r="I46" s="7"/>
      <c r="J46" s="9"/>
    </row>
    <row r="47" customFormat="false" ht="14.25" hidden="false" customHeight="false" outlineLevel="0" collapsed="false">
      <c r="A47" s="3"/>
      <c r="B47" s="4"/>
      <c r="C47" s="4"/>
      <c r="D47" s="4"/>
      <c r="E47" s="8"/>
      <c r="F47" s="8"/>
      <c r="G47" s="8"/>
      <c r="H47" s="8"/>
      <c r="I47" s="8"/>
      <c r="J47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63671875" defaultRowHeight="14.25" customHeight="false" zeroHeight="false" outlineLevelRow="0" outlineLevelCol="0"/>
  <cols>
    <col collapsed="false" customWidth="true" hidden="false" outlineLevel="0" max="5" min="1" style="1" width="18"/>
  </cols>
  <sheetData>
    <row r="1" customFormat="false" ht="14.25" hidden="false" customHeight="false" outlineLevel="0" collapsed="false">
      <c r="A1" s="2" t="s">
        <v>33</v>
      </c>
      <c r="B1" s="2" t="s">
        <v>4</v>
      </c>
      <c r="C1" s="2" t="s">
        <v>5</v>
      </c>
      <c r="D1" s="2" t="s">
        <v>6</v>
      </c>
      <c r="E1" s="2" t="s">
        <v>34</v>
      </c>
    </row>
    <row r="2" customFormat="false" ht="15" hidden="false" customHeight="false" outlineLevel="0" collapsed="false">
      <c r="A2" s="12" t="n">
        <f aca="false">SUM(Liste_des_taches!E2:E47)</f>
        <v>118</v>
      </c>
      <c r="B2" s="12" t="n">
        <f aca="false">SUM(Liste_des_taches!F2:F47)</f>
        <v>15</v>
      </c>
      <c r="C2" s="12" t="n">
        <f aca="false">SUM(Liste_des_taches!G2:G47)</f>
        <v>103</v>
      </c>
      <c r="D2" s="13" t="n">
        <f aca="false">IF(A2&gt;0,B2/A2,0)</f>
        <v>0.127118644067797</v>
      </c>
      <c r="E2" s="14" t="n">
        <f aca="false">A2/60</f>
        <v>1.96666666666667</v>
      </c>
    </row>
    <row r="4" customFormat="false" ht="14.25" hidden="false" customHeight="false" outlineLevel="0" collapsed="false">
      <c r="A4" s="15" t="s">
        <v>35</v>
      </c>
      <c r="B4" s="16" t="n">
        <f aca="false">IF(B2&gt;A2,(B2-A2)/A2,0)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6"/>
  <sheetViews>
    <sheetView showFormulas="false" showGridLines="true" showRowColHeaders="true" showZeros="true" rightToLeft="false" tabSelected="false" showOutlineSymbols="true" defaultGridColor="true" view="normal" topLeftCell="A18" colorId="64" zoomScale="100" zoomScaleNormal="100" zoomScalePageLayoutView="100" workbookViewId="0">
      <selection pane="topLeft" activeCell="E46" activeCellId="0" sqref="E46"/>
    </sheetView>
  </sheetViews>
  <sheetFormatPr defaultColWidth="8.63671875" defaultRowHeight="14.2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4" min="2" style="1" width="12"/>
  </cols>
  <sheetData>
    <row r="1" customFormat="false" ht="14.2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</row>
    <row r="2" customFormat="false" ht="14.25" hidden="false" customHeight="false" outlineLevel="0" collapsed="false">
      <c r="A2" s="3" t="n">
        <v>1</v>
      </c>
      <c r="B2" s="3" t="n">
        <v>0</v>
      </c>
      <c r="C2" s="3" t="n">
        <v>0</v>
      </c>
      <c r="D2" s="3" t="n">
        <v>0</v>
      </c>
    </row>
    <row r="3" customFormat="false" ht="14.25" hidden="false" customHeight="false" outlineLevel="0" collapsed="false">
      <c r="A3" s="3" t="n">
        <v>2</v>
      </c>
      <c r="B3" s="3" t="n">
        <v>0</v>
      </c>
      <c r="C3" s="3" t="n">
        <v>0</v>
      </c>
      <c r="D3" s="3" t="n">
        <v>0</v>
      </c>
    </row>
    <row r="4" customFormat="false" ht="14.25" hidden="false" customHeight="false" outlineLevel="0" collapsed="false">
      <c r="A4" s="3" t="n">
        <v>3</v>
      </c>
      <c r="B4" s="3" t="n">
        <v>0</v>
      </c>
      <c r="C4" s="3" t="n">
        <v>0</v>
      </c>
      <c r="D4" s="3" t="n">
        <v>0</v>
      </c>
    </row>
    <row r="5" customFormat="false" ht="14.25" hidden="false" customHeight="false" outlineLevel="0" collapsed="false">
      <c r="A5" s="3" t="n">
        <v>4</v>
      </c>
      <c r="B5" s="3" t="n">
        <v>0</v>
      </c>
      <c r="C5" s="3" t="n">
        <v>0</v>
      </c>
      <c r="D5" s="3" t="n">
        <v>0</v>
      </c>
    </row>
    <row r="6" customFormat="false" ht="14.25" hidden="false" customHeight="false" outlineLevel="0" collapsed="false">
      <c r="A6" s="3" t="n">
        <v>5</v>
      </c>
      <c r="B6" s="3" t="n">
        <v>0</v>
      </c>
      <c r="C6" s="3" t="n">
        <v>0</v>
      </c>
      <c r="D6" s="3" t="n">
        <v>0</v>
      </c>
    </row>
    <row r="7" customFormat="false" ht="14.25" hidden="false" customHeight="false" outlineLevel="0" collapsed="false">
      <c r="A7" s="3" t="n">
        <v>6</v>
      </c>
      <c r="B7" s="3" t="n">
        <v>0</v>
      </c>
      <c r="C7" s="3" t="n">
        <v>0</v>
      </c>
      <c r="D7" s="3" t="n">
        <v>0</v>
      </c>
    </row>
    <row r="8" customFormat="false" ht="14.25" hidden="false" customHeight="false" outlineLevel="0" collapsed="false">
      <c r="A8" s="3" t="n">
        <v>7</v>
      </c>
      <c r="B8" s="3" t="n">
        <v>0</v>
      </c>
      <c r="C8" s="3" t="n">
        <v>0</v>
      </c>
      <c r="D8" s="3" t="n">
        <v>0</v>
      </c>
    </row>
    <row r="9" customFormat="false" ht="14.25" hidden="false" customHeight="false" outlineLevel="0" collapsed="false">
      <c r="A9" s="3" t="n">
        <v>8</v>
      </c>
      <c r="B9" s="3" t="n">
        <v>0</v>
      </c>
      <c r="C9" s="3" t="n">
        <v>0</v>
      </c>
      <c r="D9" s="3" t="n">
        <v>0</v>
      </c>
    </row>
    <row r="10" customFormat="false" ht="14.25" hidden="false" customHeight="false" outlineLevel="0" collapsed="false">
      <c r="A10" s="3" t="n">
        <v>9</v>
      </c>
      <c r="B10" s="3" t="n">
        <v>0</v>
      </c>
      <c r="C10" s="3" t="n">
        <v>0</v>
      </c>
      <c r="D10" s="3" t="n">
        <v>0</v>
      </c>
    </row>
    <row r="11" customFormat="false" ht="14.25" hidden="false" customHeight="false" outlineLevel="0" collapsed="false">
      <c r="A11" s="3" t="n">
        <v>10</v>
      </c>
      <c r="B11" s="3" t="n">
        <v>0</v>
      </c>
      <c r="C11" s="3" t="n">
        <v>0</v>
      </c>
      <c r="D11" s="3" t="n">
        <v>0</v>
      </c>
    </row>
    <row r="12" customFormat="false" ht="14.25" hidden="false" customHeight="false" outlineLevel="0" collapsed="false">
      <c r="A12" s="3" t="n">
        <v>11</v>
      </c>
      <c r="B12" s="3" t="n">
        <v>0</v>
      </c>
      <c r="C12" s="3" t="n">
        <v>0</v>
      </c>
      <c r="D12" s="3" t="n">
        <v>0</v>
      </c>
    </row>
    <row r="13" customFormat="false" ht="14.25" hidden="false" customHeight="false" outlineLevel="0" collapsed="false">
      <c r="A13" s="3" t="n">
        <v>12</v>
      </c>
      <c r="B13" s="3" t="n">
        <v>0</v>
      </c>
      <c r="C13" s="3" t="n">
        <v>0</v>
      </c>
      <c r="D13" s="3" t="n">
        <v>0</v>
      </c>
    </row>
    <row r="14" customFormat="false" ht="14.25" hidden="false" customHeight="false" outlineLevel="0" collapsed="false">
      <c r="A14" s="3" t="n">
        <v>13</v>
      </c>
      <c r="B14" s="3" t="n">
        <v>0</v>
      </c>
      <c r="C14" s="3" t="n">
        <v>0</v>
      </c>
      <c r="D14" s="3" t="n">
        <v>0</v>
      </c>
    </row>
    <row r="15" customFormat="false" ht="14.25" hidden="false" customHeight="false" outlineLevel="0" collapsed="false">
      <c r="A15" s="3" t="n">
        <v>14</v>
      </c>
      <c r="B15" s="3" t="n">
        <v>0</v>
      </c>
      <c r="C15" s="3" t="n">
        <v>0</v>
      </c>
      <c r="D15" s="3" t="n">
        <v>0</v>
      </c>
    </row>
    <row r="16" customFormat="false" ht="14.25" hidden="false" customHeight="false" outlineLevel="0" collapsed="false">
      <c r="A16" s="3" t="n">
        <v>15</v>
      </c>
      <c r="B16" s="3" t="n">
        <v>0</v>
      </c>
      <c r="C16" s="3" t="n">
        <v>0</v>
      </c>
      <c r="D16" s="3" t="n">
        <v>0</v>
      </c>
    </row>
    <row r="17" customFormat="false" ht="14.25" hidden="false" customHeight="false" outlineLevel="0" collapsed="false">
      <c r="A17" s="3" t="n">
        <v>16</v>
      </c>
      <c r="B17" s="3" t="n">
        <v>0</v>
      </c>
      <c r="C17" s="3" t="n">
        <v>0</v>
      </c>
      <c r="D17" s="3" t="n">
        <v>0</v>
      </c>
    </row>
    <row r="18" customFormat="false" ht="14.25" hidden="false" customHeight="false" outlineLevel="0" collapsed="false">
      <c r="A18" s="3" t="n">
        <v>17</v>
      </c>
      <c r="B18" s="3" t="n">
        <v>0</v>
      </c>
      <c r="C18" s="3" t="n">
        <v>0</v>
      </c>
      <c r="D18" s="3" t="n">
        <v>0</v>
      </c>
    </row>
    <row r="19" customFormat="false" ht="14.25" hidden="false" customHeight="false" outlineLevel="0" collapsed="false">
      <c r="A19" s="3" t="n">
        <v>18</v>
      </c>
      <c r="B19" s="3" t="n">
        <v>0</v>
      </c>
      <c r="C19" s="3" t="n">
        <v>0</v>
      </c>
      <c r="D19" s="3" t="n">
        <v>0</v>
      </c>
    </row>
    <row r="20" customFormat="false" ht="14.25" hidden="false" customHeight="false" outlineLevel="0" collapsed="false">
      <c r="A20" s="3" t="n">
        <v>19</v>
      </c>
      <c r="B20" s="3" t="n">
        <v>0</v>
      </c>
      <c r="C20" s="3" t="n">
        <v>0</v>
      </c>
      <c r="D20" s="3" t="n">
        <v>0</v>
      </c>
    </row>
    <row r="21" customFormat="false" ht="14.25" hidden="false" customHeight="false" outlineLevel="0" collapsed="false">
      <c r="A21" s="3" t="n">
        <v>20</v>
      </c>
      <c r="B21" s="3" t="n">
        <v>0</v>
      </c>
      <c r="C21" s="3" t="n">
        <v>0</v>
      </c>
      <c r="D21" s="3" t="n">
        <v>0</v>
      </c>
    </row>
    <row r="22" customFormat="false" ht="14.25" hidden="false" customHeight="false" outlineLevel="0" collapsed="false">
      <c r="A22" s="3" t="n">
        <v>21</v>
      </c>
      <c r="B22" s="3" t="n">
        <v>0</v>
      </c>
      <c r="C22" s="3" t="n">
        <v>0</v>
      </c>
      <c r="D22" s="3" t="n">
        <v>0</v>
      </c>
    </row>
    <row r="23" customFormat="false" ht="14.25" hidden="false" customHeight="false" outlineLevel="0" collapsed="false">
      <c r="A23" s="3" t="n">
        <v>22</v>
      </c>
      <c r="B23" s="3" t="n">
        <v>0</v>
      </c>
      <c r="C23" s="3" t="n">
        <v>0</v>
      </c>
      <c r="D23" s="3" t="n">
        <v>0</v>
      </c>
    </row>
    <row r="24" customFormat="false" ht="14.25" hidden="false" customHeight="false" outlineLevel="0" collapsed="false">
      <c r="A24" s="3" t="n">
        <v>23</v>
      </c>
      <c r="B24" s="3" t="n">
        <v>0</v>
      </c>
      <c r="C24" s="3" t="n">
        <v>0</v>
      </c>
      <c r="D24" s="3" t="n">
        <v>0</v>
      </c>
    </row>
    <row r="25" customFormat="false" ht="14.25" hidden="false" customHeight="false" outlineLevel="0" collapsed="false">
      <c r="A25" s="3" t="n">
        <v>24</v>
      </c>
      <c r="B25" s="3" t="n">
        <v>0</v>
      </c>
      <c r="C25" s="3" t="n">
        <v>0</v>
      </c>
      <c r="D25" s="3" t="n">
        <v>0</v>
      </c>
    </row>
    <row r="26" customFormat="false" ht="14.25" hidden="false" customHeight="false" outlineLevel="0" collapsed="false">
      <c r="A26" s="3" t="n">
        <v>25</v>
      </c>
      <c r="B26" s="3" t="n">
        <v>0</v>
      </c>
      <c r="C26" s="3" t="n">
        <v>0</v>
      </c>
      <c r="D26" s="3" t="n">
        <v>0</v>
      </c>
    </row>
    <row r="27" customFormat="false" ht="14.25" hidden="false" customHeight="false" outlineLevel="0" collapsed="false">
      <c r="A27" s="3" t="n">
        <v>26</v>
      </c>
      <c r="B27" s="3" t="n">
        <v>0</v>
      </c>
      <c r="C27" s="3" t="n">
        <v>0</v>
      </c>
      <c r="D27" s="3" t="n">
        <v>0</v>
      </c>
    </row>
    <row r="28" customFormat="false" ht="14.25" hidden="false" customHeight="false" outlineLevel="0" collapsed="false">
      <c r="A28" s="3" t="n">
        <v>27</v>
      </c>
      <c r="B28" s="3" t="n">
        <v>0</v>
      </c>
      <c r="C28" s="3" t="n">
        <v>0</v>
      </c>
      <c r="D28" s="3" t="n">
        <v>0</v>
      </c>
    </row>
    <row r="29" customFormat="false" ht="14.25" hidden="false" customHeight="false" outlineLevel="0" collapsed="false">
      <c r="A29" s="3" t="n">
        <v>28</v>
      </c>
      <c r="B29" s="3" t="n">
        <v>0</v>
      </c>
      <c r="C29" s="3" t="n">
        <v>0</v>
      </c>
      <c r="D29" s="3" t="n">
        <v>0</v>
      </c>
    </row>
    <row r="30" customFormat="false" ht="14.25" hidden="false" customHeight="false" outlineLevel="0" collapsed="false">
      <c r="A30" s="3" t="n">
        <v>29</v>
      </c>
      <c r="B30" s="3" t="n">
        <v>0</v>
      </c>
      <c r="C30" s="3" t="n">
        <v>0</v>
      </c>
      <c r="D30" s="3" t="n">
        <v>0</v>
      </c>
    </row>
    <row r="31" customFormat="false" ht="14.25" hidden="false" customHeight="false" outlineLevel="0" collapsed="false">
      <c r="A31" s="3" t="n">
        <v>30</v>
      </c>
      <c r="B31" s="3" t="n">
        <v>0</v>
      </c>
      <c r="C31" s="3" t="n">
        <v>0</v>
      </c>
      <c r="D31" s="3" t="n">
        <v>0</v>
      </c>
    </row>
    <row r="32" customFormat="false" ht="14.25" hidden="false" customHeight="false" outlineLevel="0" collapsed="false">
      <c r="A32" s="3" t="n">
        <v>31</v>
      </c>
      <c r="B32" s="3" t="n">
        <v>0</v>
      </c>
      <c r="C32" s="3" t="n">
        <v>0</v>
      </c>
      <c r="D32" s="3" t="n">
        <v>0</v>
      </c>
    </row>
    <row r="33" customFormat="false" ht="14.25" hidden="false" customHeight="false" outlineLevel="0" collapsed="false">
      <c r="A33" s="3" t="n">
        <v>32</v>
      </c>
      <c r="B33" s="3" t="n">
        <v>0</v>
      </c>
      <c r="C33" s="3" t="n">
        <v>0</v>
      </c>
      <c r="D33" s="3" t="n">
        <v>0</v>
      </c>
    </row>
    <row r="34" customFormat="false" ht="14.25" hidden="false" customHeight="false" outlineLevel="0" collapsed="false">
      <c r="A34" s="3" t="n">
        <v>33</v>
      </c>
      <c r="B34" s="3" t="n">
        <v>0</v>
      </c>
      <c r="C34" s="3" t="n">
        <v>0</v>
      </c>
      <c r="D34" s="3" t="n">
        <v>0</v>
      </c>
    </row>
    <row r="35" customFormat="false" ht="14.25" hidden="false" customHeight="false" outlineLevel="0" collapsed="false">
      <c r="A35" s="3" t="n">
        <v>34</v>
      </c>
      <c r="B35" s="3" t="n">
        <v>0</v>
      </c>
      <c r="C35" s="3" t="n">
        <v>0</v>
      </c>
      <c r="D35" s="3" t="n">
        <v>0</v>
      </c>
    </row>
    <row r="36" customFormat="false" ht="14.25" hidden="false" customHeight="false" outlineLevel="0" collapsed="false">
      <c r="A36" s="3" t="n">
        <v>35</v>
      </c>
      <c r="B36" s="3" t="n">
        <v>0</v>
      </c>
      <c r="C36" s="3" t="n">
        <v>0</v>
      </c>
      <c r="D36" s="3" t="n">
        <v>0</v>
      </c>
    </row>
    <row r="37" customFormat="false" ht="14.25" hidden="false" customHeight="false" outlineLevel="0" collapsed="false">
      <c r="A37" s="3" t="n">
        <v>36</v>
      </c>
      <c r="B37" s="3" t="n">
        <v>0</v>
      </c>
      <c r="C37" s="3" t="n">
        <v>0</v>
      </c>
      <c r="D37" s="3" t="n">
        <v>0</v>
      </c>
    </row>
    <row r="38" customFormat="false" ht="14.25" hidden="false" customHeight="false" outlineLevel="0" collapsed="false">
      <c r="A38" s="3" t="n">
        <v>37</v>
      </c>
      <c r="B38" s="3" t="n">
        <v>0</v>
      </c>
      <c r="C38" s="3" t="n">
        <v>0</v>
      </c>
      <c r="D38" s="3" t="n">
        <v>0</v>
      </c>
    </row>
    <row r="39" customFormat="false" ht="14.25" hidden="false" customHeight="false" outlineLevel="0" collapsed="false">
      <c r="A39" s="3" t="n">
        <v>38</v>
      </c>
      <c r="B39" s="3" t="n">
        <v>0</v>
      </c>
      <c r="C39" s="3" t="n">
        <v>0</v>
      </c>
      <c r="D39" s="3" t="n">
        <v>0</v>
      </c>
    </row>
    <row r="40" customFormat="false" ht="14.25" hidden="false" customHeight="false" outlineLevel="0" collapsed="false">
      <c r="A40" s="3" t="n">
        <v>39</v>
      </c>
      <c r="B40" s="3" t="n">
        <v>0</v>
      </c>
      <c r="C40" s="3" t="n">
        <v>0</v>
      </c>
      <c r="D40" s="3" t="n">
        <v>0</v>
      </c>
    </row>
    <row r="41" customFormat="false" ht="14.25" hidden="false" customHeight="false" outlineLevel="0" collapsed="false">
      <c r="A41" s="3" t="n">
        <v>40</v>
      </c>
      <c r="B41" s="3" t="n">
        <v>0</v>
      </c>
      <c r="C41" s="3" t="n">
        <v>0</v>
      </c>
      <c r="D41" s="3" t="n">
        <v>0</v>
      </c>
    </row>
    <row r="42" customFormat="false" ht="14.25" hidden="false" customHeight="false" outlineLevel="0" collapsed="false">
      <c r="A42" s="3" t="n">
        <v>41</v>
      </c>
      <c r="B42" s="3" t="n">
        <v>0</v>
      </c>
      <c r="C42" s="3" t="n">
        <v>0</v>
      </c>
      <c r="D42" s="3" t="n">
        <v>0</v>
      </c>
    </row>
    <row r="43" customFormat="false" ht="14.25" hidden="false" customHeight="false" outlineLevel="0" collapsed="false">
      <c r="A43" s="3" t="n">
        <v>42</v>
      </c>
      <c r="B43" s="3" t="n">
        <v>0</v>
      </c>
      <c r="C43" s="3" t="n">
        <v>0</v>
      </c>
      <c r="D43" s="3" t="n">
        <v>0</v>
      </c>
    </row>
    <row r="44" customFormat="false" ht="14.25" hidden="false" customHeight="false" outlineLevel="0" collapsed="false">
      <c r="A44" s="3" t="n">
        <v>43</v>
      </c>
      <c r="B44" s="3" t="n">
        <v>0</v>
      </c>
      <c r="C44" s="3" t="n">
        <v>0</v>
      </c>
      <c r="D44" s="3" t="n">
        <v>0</v>
      </c>
    </row>
    <row r="45" customFormat="false" ht="14.25" hidden="false" customHeight="false" outlineLevel="0" collapsed="false">
      <c r="A45" s="3" t="n">
        <v>44</v>
      </c>
      <c r="B45" s="3" t="n">
        <v>0</v>
      </c>
      <c r="C45" s="3" t="n">
        <v>0</v>
      </c>
      <c r="D45" s="3" t="n">
        <v>0</v>
      </c>
    </row>
    <row r="46" customFormat="false" ht="14.25" hidden="false" customHeight="false" outlineLevel="0" collapsed="false">
      <c r="A46" s="3" t="n">
        <v>45</v>
      </c>
      <c r="B46" s="3" t="n">
        <v>0</v>
      </c>
      <c r="C46" s="3" t="n">
        <v>0</v>
      </c>
      <c r="D46" s="3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3671875" defaultRowHeight="14.2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0"/>
  </cols>
  <sheetData>
    <row r="1" customFormat="false" ht="14.25" hidden="false" customHeight="false" outlineLevel="0" collapsed="false">
      <c r="A1" s="2" t="s">
        <v>6</v>
      </c>
      <c r="B1" s="2" t="s">
        <v>40</v>
      </c>
    </row>
    <row r="2" customFormat="false" ht="14.25" hidden="false" customHeight="false" outlineLevel="0" collapsed="false">
      <c r="A2" s="3" t="s">
        <v>6</v>
      </c>
      <c r="B2" s="16" t="n">
        <f aca="false">Avancement_projet!D2</f>
        <v>0.127118644067797</v>
      </c>
    </row>
    <row r="3" customFormat="false" ht="14.25" hidden="false" customHeight="false" outlineLevel="0" collapsed="false">
      <c r="A3" s="3"/>
      <c r="B3" s="3"/>
    </row>
    <row r="4" customFormat="false" ht="14.25" hidden="false" customHeight="false" outlineLevel="0" collapsed="false">
      <c r="A4" s="17" t="s">
        <v>7</v>
      </c>
      <c r="B4" s="17" t="s">
        <v>41</v>
      </c>
    </row>
    <row r="5" customFormat="false" ht="14.25" hidden="false" customHeight="false" outlineLevel="0" collapsed="false">
      <c r="A5" s="3" t="s">
        <v>30</v>
      </c>
      <c r="B5" s="3" t="n">
        <f aca="false">SUMIF(Liste_des_taches!I:I,"RAKOTO",Liste_des_taches!E:E)</f>
        <v>0</v>
      </c>
    </row>
    <row r="6" customFormat="false" ht="14.25" hidden="false" customHeight="false" outlineLevel="0" collapsed="false">
      <c r="A6" s="3" t="s">
        <v>42</v>
      </c>
      <c r="B6" s="3" t="n">
        <f aca="false">SUMIF(Liste_des_taches!I:I,"RASOA",Liste_des_taches!E:E)</f>
        <v>0</v>
      </c>
    </row>
    <row r="7" customFormat="false" ht="14.25" hidden="false" customHeight="false" outlineLevel="0" collapsed="false">
      <c r="A7" s="18" t="s">
        <v>12</v>
      </c>
      <c r="B7" s="18" t="n">
        <v>100</v>
      </c>
    </row>
    <row r="8" customFormat="false" ht="14.25" hidden="false" customHeight="false" outlineLevel="0" collapsed="false">
      <c r="A8" s="19" t="s">
        <v>37</v>
      </c>
      <c r="B8" s="1" t="n">
        <f aca="false">SUM(B5:B7)</f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114</TotalTime>
  <Application>LibreOffice/25.8.6.2$Linux_X86_64 LibreOffice_project/a46b460d1686bb49c718d2ef5f88b83ff2dc4981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2026-02-16T10:35:13Z</dcterms:created>
  <dc:creator>openpyxl</dc:creator>
  <dc:description/>
  <dc:language>en-US</dc:language>
  <cp:lastModifiedBy/>
  <dcterms:modified xsi:type="dcterms:W3CDTF">2026-05-06T12:51:54Z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